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Cash Flow &amp; Balance" sheetId="4" state="visible" r:id="rId6"/>
    <sheet name="Sensitivity Analysi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Starbucks FY2025 10-K / Q4 FY2025 earnings release, SEC EDGAR</t>
        </r>
      </text>
    </comment>
    <comment ref="C12" authorId="0">
      <text>
        <r>
          <rPr>
            <sz val="10"/>
            <rFont val="Arial"/>
            <family val="2"/>
          </rPr>
          <t xml:space="preserve">One-time coffeehouse closure / restructuring charge disclosed in FY2025 10-K. Assumed $0 in forecast years.</t>
        </r>
      </text>
    </comment>
    <comment ref="C14" authorId="0">
      <text>
        <r>
          <rPr>
            <sz val="10"/>
            <rFont val="Arial"/>
            <family val="2"/>
          </rPr>
          <t xml:space="preserve">Source: Starbucks FY2025 10-K, income from North American Coffee Partnership and other equity-method joint ventures</t>
        </r>
      </text>
    </comment>
    <comment ref="D14" authorId="0">
      <text>
        <r>
          <rPr>
            <sz val="10"/>
            <rFont val="Arial"/>
            <family val="2"/>
          </rPr>
          <t xml:space="preserve">Assumption: held flat at FY2025A level; joint-venture income does not scale directly with company revenue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Computed as FY2025A net working capital less FY2024A net working capital, both derived from 10-K balance sheet figures below</t>
        </r>
      </text>
    </comment>
    <comment ref="C9" authorId="0">
      <text>
        <r>
          <rPr>
            <sz val="10"/>
            <rFont val="Arial"/>
            <family val="2"/>
          </rPr>
          <t xml:space="preserve">Source: Starbucks FY2025 10-K / Q4 FY2025 earnings release, actual GAAP operating cash flow (includes stock comp, deferred tax, and other non-cash items not modeled individually here)</t>
        </r>
      </text>
    </comment>
    <comment ref="D9" authorId="0">
      <text>
        <r>
          <rPr>
            <sz val="10"/>
            <rFont val="Arial"/>
            <family val="2"/>
          </rPr>
          <t xml:space="preserve">Projected years use a simplified proxy (net income + D&amp;A – ΔNWC) since stock comp and deferred taxes are not separately forecast</t>
        </r>
      </text>
    </comment>
  </commentList>
</comments>
</file>

<file path=xl/sharedStrings.xml><?xml version="1.0" encoding="utf-8"?>
<sst xmlns="http://schemas.openxmlformats.org/spreadsheetml/2006/main" count="115" uniqueCount="94">
  <si>
    <t xml:space="preserve">STARBUCKS CORPORATION</t>
  </si>
  <si>
    <t xml:space="preserve">Three-Year Financial Forecast Model (FY2026E – FY2028E)</t>
  </si>
  <si>
    <t xml:space="preserve">Prepared for: Commercial Banking Internship Application Portfolio</t>
  </si>
  <si>
    <t xml:space="preserve">Base year: FY2025 (ended 9/28/2025)  |  All figures in $ millions unless noted</t>
  </si>
  <si>
    <t xml:space="preserve">Model Structure</t>
  </si>
  <si>
    <t xml:space="preserve">1. Assumptions — Growth, margin, working capital, and financing drivers — all editable blue inputs</t>
  </si>
  <si>
    <t xml:space="preserve">2. Income Statement — FY2024A–FY2025A actuals and FY2026E–FY2028E projected income statement</t>
  </si>
  <si>
    <t xml:space="preserve">3. Cash Flow &amp; Balance — Free cash flow build, working capital, debt, dividends, and cash roll-forward</t>
  </si>
  <si>
    <t xml:space="preserve">4. Sensitivity Analysis — FY2028E free cash flow and net income under alternative growth/margin scenarios</t>
  </si>
  <si>
    <t xml:space="preserve">5. Dashboard — Summary KPIs and charts</t>
  </si>
  <si>
    <t xml:space="preserve">Color Key</t>
  </si>
  <si>
    <t xml:space="preserve">Blue text — Hardcoded input / assumption — change these to run new scenarios</t>
  </si>
  <si>
    <t xml:space="preserve">Black text — Formula or calculation</t>
  </si>
  <si>
    <t xml:space="preserve">Green text — Link pulling from another worksheet in this workbook</t>
  </si>
  <si>
    <t xml:space="preserve">Yellow highlight — Key assumption worth double-checking before relying on the model</t>
  </si>
  <si>
    <t xml:space="preserve">Source: Starbucks Corporation FY2025 Form 10-K and Q4/FY2025 earnings release (SEC EDGAR), fiscal year ended 9/28/2025.</t>
  </si>
  <si>
    <t xml:space="preserve">MODEL ASSUMPTIONS</t>
  </si>
  <si>
    <t xml:space="preserve">Driver</t>
  </si>
  <si>
    <t xml:space="preserve">FY2025A</t>
  </si>
  <si>
    <t xml:space="preserve">FY2026E</t>
  </si>
  <si>
    <t xml:space="preserve">FY2027E</t>
  </si>
  <si>
    <t xml:space="preserve">FY2028E</t>
  </si>
  <si>
    <t xml:space="preserve">Revenue &amp; Margin Assumptions</t>
  </si>
  <si>
    <t xml:space="preserve">Revenue growth rate (YoY)</t>
  </si>
  <si>
    <t xml:space="preserve">Product &amp; distribution costs (% of revenue)</t>
  </si>
  <si>
    <t xml:space="preserve">Store operating expenses (% of revenue)</t>
  </si>
  <si>
    <t xml:space="preserve">Other operating expenses (% of revenue)</t>
  </si>
  <si>
    <t xml:space="preserve">General &amp; administrative (% of revenue)</t>
  </si>
  <si>
    <t xml:space="preserve">Depreciation &amp; amortization (% of revenue)</t>
  </si>
  <si>
    <t xml:space="preserve">Effective tax rate</t>
  </si>
  <si>
    <t xml:space="preserve">Capital, Working Capital &amp; Financing Assumptions</t>
  </si>
  <si>
    <t xml:space="preserve">Capital expenditures (% of revenue)</t>
  </si>
  <si>
    <t xml:space="preserve">Accounts receivable (% of revenue)</t>
  </si>
  <si>
    <t xml:space="preserve">Inventory (% of revenue)</t>
  </si>
  <si>
    <t xml:space="preserve">Accounts payable (% of revenue)</t>
  </si>
  <si>
    <t xml:space="preserve">Effective interest rate on debt</t>
  </si>
  <si>
    <t xml:space="preserve">Dividend growth rate (YoY)</t>
  </si>
  <si>
    <t xml:space="preserve">New term loan proceeds, FY2026E ($mm)</t>
  </si>
  <si>
    <t xml:space="preserve">Note: FY2025A column shows the actual historical ratio (computed via formula from the Income Statement tab) for comparison against forward assumptions.</t>
  </si>
  <si>
    <t xml:space="preserve">CONSOLIDATED INCOME STATEMENT ($ in millions)</t>
  </si>
  <si>
    <t xml:space="preserve">Line Item</t>
  </si>
  <si>
    <t xml:space="preserve">FY2024A</t>
  </si>
  <si>
    <t xml:space="preserve">Total net revenues</t>
  </si>
  <si>
    <t xml:space="preserve">  Revenue growth %</t>
  </si>
  <si>
    <t xml:space="preserve">Product &amp; distribution costs</t>
  </si>
  <si>
    <t xml:space="preserve">Store operating expenses</t>
  </si>
  <si>
    <t xml:space="preserve">Other operating expenses</t>
  </si>
  <si>
    <t xml:space="preserve">Depreciation &amp; amortization</t>
  </si>
  <si>
    <t xml:space="preserve">General &amp; administrative expenses</t>
  </si>
  <si>
    <t xml:space="preserve">Restructuring &amp; impairments (one-time)</t>
  </si>
  <si>
    <t xml:space="preserve">Total operating expenses</t>
  </si>
  <si>
    <t xml:space="preserve">Income from equity investees</t>
  </si>
  <si>
    <t xml:space="preserve">Operating income (EBIT)</t>
  </si>
  <si>
    <t xml:space="preserve">  Operating margin %</t>
  </si>
  <si>
    <t xml:space="preserve">Interest expense, net</t>
  </si>
  <si>
    <t xml:space="preserve">Earnings before income taxes</t>
  </si>
  <si>
    <t xml:space="preserve">Income tax expense</t>
  </si>
  <si>
    <t xml:space="preserve">Net earnings attributable to SBUX</t>
  </si>
  <si>
    <t xml:space="preserve">  Net margin %</t>
  </si>
  <si>
    <t xml:space="preserve">CASH FLOW BUILD, WORKING CAPITAL &amp; DEBT SCHEDULE ($ in millions)</t>
  </si>
  <si>
    <t xml:space="preserve">Free Cash Flow Build</t>
  </si>
  <si>
    <t xml:space="preserve">Net income</t>
  </si>
  <si>
    <t xml:space="preserve">+ Depreciation &amp; amortization</t>
  </si>
  <si>
    <t xml:space="preserve">– Increase in net working capital</t>
  </si>
  <si>
    <t xml:space="preserve">Cash flow from operations</t>
  </si>
  <si>
    <t xml:space="preserve">Free Cash Flow</t>
  </si>
  <si>
    <t xml:space="preserve">– Capital expenditures</t>
  </si>
  <si>
    <t xml:space="preserve">— Free cash flow</t>
  </si>
  <si>
    <t xml:space="preserve">Financing &amp; Cash Roll-Forward</t>
  </si>
  <si>
    <t xml:space="preserve">+ New term loan proceeds</t>
  </si>
  <si>
    <t xml:space="preserve">– Dividends paid</t>
  </si>
  <si>
    <t xml:space="preserve">— Net change in cash</t>
  </si>
  <si>
    <t xml:space="preserve">Beginning cash balance</t>
  </si>
  <si>
    <t xml:space="preserve">Ending cash balance</t>
  </si>
  <si>
    <t xml:space="preserve">Working Capital Detail</t>
  </si>
  <si>
    <t xml:space="preserve">Accounts receivable</t>
  </si>
  <si>
    <t xml:space="preserve">Inventory</t>
  </si>
  <si>
    <t xml:space="preserve">Accounts payable</t>
  </si>
  <si>
    <t xml:space="preserve">Net working capital (AR + Inv – AP)</t>
  </si>
  <si>
    <t xml:space="preserve">Debt Schedule</t>
  </si>
  <si>
    <t xml:space="preserve">Beginning total debt</t>
  </si>
  <si>
    <t xml:space="preserve">+ New borrowings, net</t>
  </si>
  <si>
    <t xml:space="preserve">Ending total debt</t>
  </si>
  <si>
    <t xml:space="preserve">Note: Operating cash flow here is a simplified proxy (net income + D&amp;A – ΔNWC) for forecasting purposes; it will not tie exactly to GAAP operating cash flow, which also reflects stock-based comp, deferred taxes, and other non-cash items.</t>
  </si>
  <si>
    <t xml:space="preserve">FY2028E SENSITIVITY ANALYSIS — FREE CASH FLOW ($mm)</t>
  </si>
  <si>
    <t xml:space="preserve">Two-way sensitivity: flat annual revenue growth rate (columns) vs. flat store operating expense ratio (rows), compounded over 3 years from the FY2025A base.</t>
  </si>
  <si>
    <t xml:space="preserve">Fixed assumptions used (from Assumptions tab): product &amp; distribution cost %, other opex %, G&amp;A %, D&amp;A %, tax rate, capex %, and interest expense held at FY2028E levels.</t>
  </si>
  <si>
    <t xml:space="preserve">FCF sensitivity: growth (cols) × store opex % (rows)</t>
  </si>
  <si>
    <t xml:space="preserve">Store Opex % \ Rev Growth</t>
  </si>
  <si>
    <t xml:space="preserve">Highlighted cell approximates the base-case scenario (store opex ~45.5%, growth ~4.0% avg) for reference.</t>
  </si>
  <si>
    <t xml:space="preserve">STARBUCKS — FORECAST SUMMARY DASHBOARD</t>
  </si>
  <si>
    <t xml:space="preserve">Revenue growth %</t>
  </si>
  <si>
    <t xml:space="preserve">Operating margin %</t>
  </si>
  <si>
    <t xml:space="preserve">Free cash flow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</si>
</sst>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;&quot;($&quot;#,##0.0\);\-"/>
    <numFmt numFmtId="167" formatCode="\$#,##0;&quot;($&quot;#,##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BFBFBF"/>
      <rgbColor rgb="FF808080"/>
      <rgbColor rgb="FF8EA5CA"/>
      <rgbColor rgb="FFAA433F"/>
      <rgbColor rgb="FFF2F2F2"/>
      <rgbColor rgb="FFDCE6F1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878787"/>
      <rgbColor rgb="FFFFCC99"/>
      <rgbColor rgb="FF426FA6"/>
      <rgbColor rgb="FF4BACC6"/>
      <rgbColor rgb="FF9BBB59"/>
      <rgbColor rgb="FFFFCC00"/>
      <rgbColor rgb="FFDB8238"/>
      <rgbColor rgb="FFFF6600"/>
      <rgbColor rgb="FF6F568D"/>
      <rgbColor rgb="FFA596B9"/>
      <rgbColor rgb="FF1F3864"/>
      <rgbColor rgb="FF3D97AF"/>
      <rgbColor rgb="FF003300"/>
      <rgbColor rgb="FF333300"/>
      <rgbColor rgb="FF993300"/>
      <rgbColor rgb="FFC0504D"/>
      <rgbColor rgb="FF8064A2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Free Cash Flow Trend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net revenues"</c:f>
              <c:strCache>
                <c:ptCount val="1"/>
                <c:pt idx="0">
                  <c:v>Total net revenues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Dashboard!$B$4</c:f>
              <c:numCache>
                <c:formatCode>\$#,##0.0;"($"#,##0.0\);\-</c:formatCode>
                <c:ptCount val="1"/>
                <c:pt idx="0">
                  <c:v>36176.2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"Free cash flow"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Dashboard!$C$4</c:f>
              <c:numCache>
                <c:formatCode>\$#,##0.0;"($"#,##0.0\);\-</c:formatCode>
                <c:ptCount val="1"/>
                <c:pt idx="0">
                  <c:v>37184.4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Dashboard!$D$4</c:f>
              <c:numCache>
                <c:formatCode>\$#,##0.0;"($"#,##0.0\);\-</c:formatCode>
                <c:ptCount val="1"/>
                <c:pt idx="0">
                  <c:v>38299.932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Dashboard!$E$4</c:f>
              <c:numCache>
                <c:formatCode>\$#,##0.0;"($"#,##0.0\);\-</c:formatCode>
                <c:ptCount val="1"/>
                <c:pt idx="0">
                  <c:v>40023.42894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Dashboard!$F$4</c:f>
              <c:numCache>
                <c:formatCode>\$#,##0.0;"($"#,##0.0\);\-</c:formatCode>
                <c:ptCount val="1"/>
                <c:pt idx="0">
                  <c:v>42224.7175317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Dashboard!$B$9</c:f>
              <c:numCache>
                <c:formatCode>\$#,##0.0;"($"#,##0.0\);\-</c:formatCode>
                <c:ptCount val="1"/>
                <c:pt idx="0">
                  <c:v>3762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Dashboard!$C$9</c:f>
              <c:numCache>
                <c:formatCode>\$#,##0.0;"($"#,##0.0\);\-</c:formatCode>
                <c:ptCount val="1"/>
                <c:pt idx="0">
                  <c:v>2442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Dashboard!$D$9</c:f>
              <c:numCache>
                <c:formatCode>\$#,##0.0;"($"#,##0.0\);\-</c:formatCode>
                <c:ptCount val="1"/>
                <c:pt idx="0">
                  <c:v>2158.37293134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Dashboard!$E$9</c:f>
              <c:numCache>
                <c:formatCode>\$#,##0.0;"($"#,##0.0\);\-</c:formatCode>
                <c:ptCount val="1"/>
                <c:pt idx="0">
                  <c:v>2594.2066124933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Dashboard!$F$9</c:f>
              <c:numCache>
                <c:formatCode>\$#,##0.0;"($"#,##0.0\);\-</c:formatCode>
                <c:ptCount val="1"/>
                <c:pt idx="0">
                  <c:v>3201.98738122781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227481"/>
        <c:axId val="47296642"/>
      </c:lineChart>
      <c:catAx>
        <c:axId val="662274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96642"/>
        <c:crosses val="autoZero"/>
        <c:auto val="1"/>
        <c:lblAlgn val="ctr"/>
        <c:lblOffset val="100"/>
        <c:noMultiLvlLbl val="0"/>
      </c:catAx>
      <c:valAx>
        <c:axId val="47296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;&quot;($&quot;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274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"Operating margin %"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Dashboard!$B$7</c:f>
              <c:numCache>
                <c:formatCode>0.0%</c:formatCode>
                <c:ptCount val="1"/>
                <c:pt idx="0">
                  <c:v>0.149512663021544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Dashboard!$C$7</c:f>
              <c:numCache>
                <c:formatCode>0.0%</c:formatCode>
                <c:ptCount val="1"/>
                <c:pt idx="0">
                  <c:v>0.0789739783350008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Dashboard!$D$7</c:f>
              <c:numCache>
                <c:formatCode>0.0%</c:formatCode>
                <c:ptCount val="1"/>
                <c:pt idx="0">
                  <c:v>0.10746998537752</c:v>
                </c:pt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Dashboard!$E$7</c:f>
              <c:numCache>
                <c:formatCode>0.0%</c:formatCode>
                <c:ptCount val="1"/>
                <c:pt idx="0">
                  <c:v>0.117191373567005</c:v>
                </c:pt>
              </c:numCache>
            </c:numRef>
          </c:val>
        </c:ser>
        <c:ser>
          <c:idx val="4"/>
          <c:order val="4"/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Dashboard!$B$3:$F$3</c:f>
              <c:multiLvlStrCache>
                <c:ptCount val="1"/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  <c:lvl>
                  <c:pt idx="0">
                    <c:v>FY2025A</c:v>
                  </c:pt>
                </c:lvl>
                <c:lvl>
                  <c:pt idx="0">
                    <c:v>FY2024A</c:v>
                  </c:pt>
                </c:lvl>
              </c:multiLvlStrCache>
            </c:multiLvlStrRef>
          </c:cat>
          <c:val>
            <c:numRef>
              <c:f>Dashboard!$F$7</c:f>
              <c:numCache>
                <c:formatCode>0.0%</c:formatCode>
                <c:ptCount val="1"/>
                <c:pt idx="0">
                  <c:v>0.127868600537445</c:v>
                </c:pt>
              </c:numCache>
            </c:numRef>
          </c:val>
        </c:ser>
        <c:gapWidth val="150"/>
        <c:overlap val="0"/>
        <c:axId val="9938296"/>
        <c:axId val="63617100"/>
      </c:barChart>
      <c:catAx>
        <c:axId val="993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17100"/>
        <c:crosses val="autoZero"/>
        <c:auto val="1"/>
        <c:lblAlgn val="ctr"/>
        <c:lblOffset val="100"/>
        <c:noMultiLvlLbl val="0"/>
      </c:catAx>
      <c:valAx>
        <c:axId val="63617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82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160560</xdr:rowOff>
    </xdr:from>
    <xdr:to>
      <xdr:col>5</xdr:col>
      <xdr:colOff>699840</xdr:colOff>
      <xdr:row>28</xdr:row>
      <xdr:rowOff>182520</xdr:rowOff>
    </xdr:to>
    <xdr:graphicFrame>
      <xdr:nvGraphicFramePr>
        <xdr:cNvPr id="0" name="Chart 1"/>
        <xdr:cNvGraphicFramePr/>
      </xdr:nvGraphicFramePr>
      <xdr:xfrm>
        <a:off x="0" y="2666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160560</xdr:rowOff>
    </xdr:from>
    <xdr:to>
      <xdr:col>5</xdr:col>
      <xdr:colOff>699840</xdr:colOff>
      <xdr:row>45</xdr:row>
      <xdr:rowOff>182880</xdr:rowOff>
    </xdr:to>
    <xdr:graphicFrame>
      <xdr:nvGraphicFramePr>
        <xdr:cNvPr id="1" name="Chart 2"/>
        <xdr:cNvGraphicFramePr/>
      </xdr:nvGraphicFramePr>
      <xdr:xfrm>
        <a:off x="0" y="5905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  <col collapsed="false" customWidth="true" hidden="false" outlineLevel="0" max="3" min="3" style="0" width="4"/>
  </cols>
  <sheetData>
    <row r="2" customFormat="false" ht="24.4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5" t="s">
        <v>4</v>
      </c>
    </row>
    <row r="9" customFormat="false" ht="15" hidden="false" customHeight="false" outlineLevel="0" collapsed="false">
      <c r="B9" s="6" t="s">
        <v>5</v>
      </c>
    </row>
    <row r="10" customFormat="false" ht="15" hidden="false" customHeight="false" outlineLevel="0" collapsed="false">
      <c r="B10" s="6" t="s">
        <v>6</v>
      </c>
    </row>
    <row r="11" customFormat="false" ht="15" hidden="false" customHeight="false" outlineLevel="0" collapsed="false">
      <c r="B11" s="6" t="s">
        <v>7</v>
      </c>
    </row>
    <row r="12" customFormat="false" ht="15" hidden="false" customHeight="false" outlineLevel="0" collapsed="false">
      <c r="B12" s="6" t="s">
        <v>8</v>
      </c>
    </row>
    <row r="13" customFormat="false" ht="15" hidden="false" customHeight="false" outlineLevel="0" collapsed="false">
      <c r="B13" s="6" t="s">
        <v>9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7" t="s">
        <v>11</v>
      </c>
    </row>
    <row r="17" customFormat="false" ht="15" hidden="false" customHeight="false" outlineLevel="0" collapsed="false">
      <c r="B17" s="8" t="s">
        <v>12</v>
      </c>
    </row>
    <row r="18" customFormat="false" ht="15" hidden="false" customHeight="false" outlineLevel="0" collapsed="false">
      <c r="B18" s="9" t="s">
        <v>13</v>
      </c>
    </row>
    <row r="19" customFormat="false" ht="15" hidden="false" customHeight="false" outlineLevel="0" collapsed="false">
      <c r="B19" s="8" t="s">
        <v>14</v>
      </c>
    </row>
    <row r="21" customFormat="false" ht="15" hidden="false" customHeight="false" outlineLevel="0" collapsed="false">
      <c r="B21" s="1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1" t="s">
        <v>16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17</v>
      </c>
      <c r="B3" s="13" t="s">
        <v>18</v>
      </c>
      <c r="C3" s="13" t="s">
        <v>19</v>
      </c>
      <c r="D3" s="13" t="s">
        <v>20</v>
      </c>
      <c r="E3" s="13" t="s">
        <v>21</v>
      </c>
    </row>
    <row r="5" customFormat="false" ht="15" hidden="false" customHeight="false" outlineLevel="0" collapsed="false">
      <c r="A5" s="14" t="s">
        <v>22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15" t="s">
        <v>23</v>
      </c>
      <c r="B6" s="16" t="n">
        <f aca="false">'Income Statement'!C6</f>
        <v>0.0278691515416214</v>
      </c>
      <c r="C6" s="17" t="n">
        <v>0.03</v>
      </c>
      <c r="D6" s="17" t="n">
        <v>0.045</v>
      </c>
      <c r="E6" s="17" t="n">
        <v>0.055</v>
      </c>
    </row>
    <row r="7" customFormat="false" ht="15" hidden="false" customHeight="false" outlineLevel="0" collapsed="false">
      <c r="A7" s="15" t="s">
        <v>24</v>
      </c>
      <c r="B7" s="16" t="n">
        <f aca="false">'Income Statement'!C7/'Income Statement'!C5</f>
        <v>0.313523950904143</v>
      </c>
      <c r="C7" s="18" t="n">
        <v>0.313</v>
      </c>
      <c r="D7" s="18" t="n">
        <v>0.312</v>
      </c>
      <c r="E7" s="18" t="n">
        <v>0.311</v>
      </c>
    </row>
    <row r="8" customFormat="false" ht="15" hidden="false" customHeight="false" outlineLevel="0" collapsed="false">
      <c r="A8" s="15" t="s">
        <v>25</v>
      </c>
      <c r="B8" s="16" t="n">
        <f aca="false">'Income Statement'!C8/'Income Statement'!C5</f>
        <v>0.458764965953464</v>
      </c>
      <c r="C8" s="17" t="n">
        <v>0.455</v>
      </c>
      <c r="D8" s="17" t="n">
        <v>0.448</v>
      </c>
      <c r="E8" s="17" t="n">
        <v>0.44</v>
      </c>
    </row>
    <row r="9" customFormat="false" ht="15" hidden="false" customHeight="false" outlineLevel="0" collapsed="false">
      <c r="A9" s="15" t="s">
        <v>26</v>
      </c>
      <c r="B9" s="16" t="n">
        <f aca="false">'Income Statement'!C9/'Income Statement'!C5</f>
        <v>0.015721646712062</v>
      </c>
      <c r="C9" s="18" t="n">
        <v>0.016</v>
      </c>
      <c r="D9" s="18" t="n">
        <v>0.016</v>
      </c>
      <c r="E9" s="18" t="n">
        <v>0.016</v>
      </c>
    </row>
    <row r="10" customFormat="false" ht="15" hidden="false" customHeight="false" outlineLevel="0" collapsed="false">
      <c r="A10" s="15" t="s">
        <v>27</v>
      </c>
      <c r="B10" s="16" t="n">
        <f aca="false">'Income Statement'!C11/'Income Statement'!C5</f>
        <v>0.0703843547294027</v>
      </c>
      <c r="C10" s="18" t="n">
        <v>0.069</v>
      </c>
      <c r="D10" s="18" t="n">
        <v>0.067</v>
      </c>
      <c r="E10" s="18" t="n">
        <v>0.065</v>
      </c>
    </row>
    <row r="11" customFormat="false" ht="15" hidden="false" customHeight="false" outlineLevel="0" collapsed="false">
      <c r="A11" s="15" t="s">
        <v>28</v>
      </c>
      <c r="B11" s="16" t="n">
        <f aca="false">'Income Statement'!C10/'Income Statement'!C5</f>
        <v>0.0453066339647809</v>
      </c>
      <c r="C11" s="18" t="n">
        <v>0.046</v>
      </c>
      <c r="D11" s="18" t="n">
        <v>0.046</v>
      </c>
      <c r="E11" s="18" t="n">
        <v>0.046</v>
      </c>
    </row>
    <row r="12" customFormat="false" ht="15" hidden="false" customHeight="false" outlineLevel="0" collapsed="false">
      <c r="A12" s="15" t="s">
        <v>29</v>
      </c>
      <c r="B12" s="16" t="n">
        <f aca="false">'Income Statement'!C19/'Income Statement'!C18</f>
        <v>0.259482311649982</v>
      </c>
      <c r="C12" s="18" t="n">
        <v>0.255</v>
      </c>
      <c r="D12" s="18" t="n">
        <v>0.255</v>
      </c>
      <c r="E12" s="18" t="n">
        <v>0.255</v>
      </c>
    </row>
    <row r="14" customFormat="false" ht="15" hidden="false" customHeight="false" outlineLevel="0" collapsed="false">
      <c r="A14" s="14" t="s">
        <v>30</v>
      </c>
      <c r="B14" s="14"/>
      <c r="C14" s="14"/>
      <c r="D14" s="14"/>
      <c r="E14" s="14"/>
      <c r="F14" s="14"/>
    </row>
    <row r="15" customFormat="false" ht="15" hidden="false" customHeight="false" outlineLevel="0" collapsed="false">
      <c r="A15" s="15" t="s">
        <v>31</v>
      </c>
      <c r="B15" s="16" t="n">
        <f aca="false">2305.5/'Income Statement'!C5</f>
        <v>0.0620018072094749</v>
      </c>
      <c r="C15" s="17" t="n">
        <v>0.06</v>
      </c>
      <c r="D15" s="17" t="n">
        <v>0.058</v>
      </c>
      <c r="E15" s="17" t="n">
        <v>0.055</v>
      </c>
    </row>
    <row r="16" customFormat="false" ht="15" hidden="false" customHeight="false" outlineLevel="0" collapsed="false">
      <c r="A16" s="15" t="s">
        <v>32</v>
      </c>
      <c r="B16" s="16" t="n">
        <f aca="false">1277.5/'Income Statement'!C5</f>
        <v>0.0343558051225783</v>
      </c>
      <c r="C16" s="18" t="n">
        <v>0.034</v>
      </c>
      <c r="D16" s="18" t="n">
        <v>0.034</v>
      </c>
      <c r="E16" s="18" t="n">
        <v>0.034</v>
      </c>
    </row>
    <row r="17" customFormat="false" ht="15" hidden="false" customHeight="false" outlineLevel="0" collapsed="false">
      <c r="A17" s="15" t="s">
        <v>33</v>
      </c>
      <c r="B17" s="16" t="n">
        <f aca="false">2185.6/'Income Statement'!C5</f>
        <v>0.0587773367326083</v>
      </c>
      <c r="C17" s="18" t="n">
        <v>0.059</v>
      </c>
      <c r="D17" s="18" t="n">
        <v>0.059</v>
      </c>
      <c r="E17" s="18" t="n">
        <v>0.059</v>
      </c>
    </row>
    <row r="18" customFormat="false" ht="15" hidden="false" customHeight="false" outlineLevel="0" collapsed="false">
      <c r="A18" s="15" t="s">
        <v>34</v>
      </c>
      <c r="B18" s="16" t="n">
        <f aca="false">1852.8/'Income Statement'!C5</f>
        <v>0.0498273469519476</v>
      </c>
      <c r="C18" s="18" t="n">
        <v>0.05</v>
      </c>
      <c r="D18" s="18" t="n">
        <v>0.05</v>
      </c>
      <c r="E18" s="18" t="n">
        <v>0.05</v>
      </c>
    </row>
    <row r="19" customFormat="false" ht="15" hidden="false" customHeight="false" outlineLevel="0" collapsed="false">
      <c r="A19" s="15" t="s">
        <v>35</v>
      </c>
      <c r="B19" s="16" t="n">
        <f aca="false">429.3/16074.8</f>
        <v>0.0267063975912609</v>
      </c>
      <c r="C19" s="18" t="n">
        <v>0.028</v>
      </c>
      <c r="D19" s="18" t="n">
        <v>0.028</v>
      </c>
      <c r="E19" s="18" t="n">
        <v>0.028</v>
      </c>
    </row>
    <row r="20" customFormat="false" ht="15" hidden="false" customHeight="false" outlineLevel="0" collapsed="false">
      <c r="A20" s="15" t="s">
        <v>36</v>
      </c>
      <c r="B20" s="16" t="n">
        <f aca="false">2771.4/2585-1</f>
        <v>0.0721083172147001</v>
      </c>
      <c r="C20" s="18" t="n">
        <v>0.07</v>
      </c>
      <c r="D20" s="18" t="n">
        <v>0.07</v>
      </c>
      <c r="E20" s="18" t="n">
        <v>0.07</v>
      </c>
    </row>
    <row r="22" customFormat="false" ht="15" hidden="false" customHeight="false" outlineLevel="0" collapsed="false">
      <c r="A22" s="15" t="s">
        <v>37</v>
      </c>
      <c r="B22" s="19"/>
      <c r="C22" s="20" t="n">
        <v>500</v>
      </c>
      <c r="D22" s="21" t="n">
        <v>0</v>
      </c>
      <c r="E22" s="21" t="n">
        <v>0</v>
      </c>
    </row>
    <row r="24" customFormat="false" ht="15" hidden="false" customHeight="false" outlineLevel="0" collapsed="false">
      <c r="A24" s="22" t="s">
        <v>38</v>
      </c>
      <c r="B24" s="22"/>
      <c r="C24" s="22"/>
      <c r="D24" s="22"/>
      <c r="E24" s="22"/>
      <c r="F24" s="22"/>
    </row>
  </sheetData>
  <mergeCells count="4">
    <mergeCell ref="A1:F1"/>
    <mergeCell ref="A5:F5"/>
    <mergeCell ref="A14:F14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1" t="s">
        <v>39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23" t="s">
        <v>40</v>
      </c>
      <c r="B3" s="24" t="s">
        <v>41</v>
      </c>
      <c r="C3" s="24" t="s">
        <v>18</v>
      </c>
      <c r="D3" s="24" t="s">
        <v>19</v>
      </c>
      <c r="E3" s="24" t="s">
        <v>20</v>
      </c>
      <c r="F3" s="24" t="s">
        <v>21</v>
      </c>
    </row>
    <row r="5" customFormat="false" ht="15" hidden="false" customHeight="false" outlineLevel="0" collapsed="false">
      <c r="A5" s="25" t="s">
        <v>42</v>
      </c>
      <c r="B5" s="21" t="n">
        <v>36176.2</v>
      </c>
      <c r="C5" s="21" t="n">
        <v>37184.4</v>
      </c>
      <c r="D5" s="26" t="n">
        <f aca="false">C5*(1+Assumptions!C6)</f>
        <v>38299.932</v>
      </c>
      <c r="E5" s="26" t="n">
        <f aca="false">D5*(1+Assumptions!D6)</f>
        <v>40023.42894</v>
      </c>
      <c r="F5" s="26" t="n">
        <f aca="false">E5*(1+Assumptions!E6)</f>
        <v>42224.7175317</v>
      </c>
    </row>
    <row r="6" customFormat="false" ht="15" hidden="false" customHeight="false" outlineLevel="0" collapsed="false">
      <c r="A6" s="27" t="s">
        <v>43</v>
      </c>
      <c r="B6" s="19"/>
      <c r="C6" s="28" t="n">
        <f aca="false">C5/B5-1</f>
        <v>0.0278691515416214</v>
      </c>
      <c r="D6" s="28" t="n">
        <f aca="false">D5/C5-1</f>
        <v>0.03</v>
      </c>
      <c r="E6" s="28" t="n">
        <f aca="false">E5/D5-1</f>
        <v>0.0449999999999999</v>
      </c>
      <c r="F6" s="28" t="n">
        <f aca="false">F5/E5-1</f>
        <v>0.0549999999999999</v>
      </c>
    </row>
    <row r="7" customFormat="false" ht="15" hidden="false" customHeight="false" outlineLevel="0" collapsed="false">
      <c r="A7" s="15" t="s">
        <v>44</v>
      </c>
      <c r="B7" s="21" t="n">
        <v>11180.6</v>
      </c>
      <c r="C7" s="21" t="n">
        <v>11658.2</v>
      </c>
      <c r="D7" s="29" t="n">
        <f aca="false">D5*Assumptions!C7</f>
        <v>11987.878716</v>
      </c>
      <c r="E7" s="29" t="n">
        <f aca="false">E5*Assumptions!D7</f>
        <v>12487.30982928</v>
      </c>
      <c r="F7" s="29" t="n">
        <f aca="false">F5*Assumptions!E7</f>
        <v>13131.8871523587</v>
      </c>
    </row>
    <row r="8" customFormat="false" ht="15" hidden="false" customHeight="false" outlineLevel="0" collapsed="false">
      <c r="A8" s="15" t="s">
        <v>45</v>
      </c>
      <c r="B8" s="21" t="n">
        <v>15286.5</v>
      </c>
      <c r="C8" s="21" t="n">
        <v>17058.9</v>
      </c>
      <c r="D8" s="29" t="n">
        <f aca="false">D5*Assumptions!C8</f>
        <v>17426.46906</v>
      </c>
      <c r="E8" s="29" t="n">
        <f aca="false">E5*Assumptions!D8</f>
        <v>17930.49616512</v>
      </c>
      <c r="F8" s="29" t="n">
        <f aca="false">F5*Assumptions!E8</f>
        <v>18578.875713948</v>
      </c>
    </row>
    <row r="9" customFormat="false" ht="15" hidden="false" customHeight="false" outlineLevel="0" collapsed="false">
      <c r="A9" s="15" t="s">
        <v>46</v>
      </c>
      <c r="B9" s="21" t="n">
        <v>565.6</v>
      </c>
      <c r="C9" s="21" t="n">
        <v>584.6</v>
      </c>
      <c r="D9" s="29" t="n">
        <f aca="false">D5*Assumptions!C9</f>
        <v>612.798912</v>
      </c>
      <c r="E9" s="29" t="n">
        <f aca="false">E5*Assumptions!D9</f>
        <v>640.37486304</v>
      </c>
      <c r="F9" s="29" t="n">
        <f aca="false">F5*Assumptions!E9</f>
        <v>675.5954805072</v>
      </c>
    </row>
    <row r="10" customFormat="false" ht="15" hidden="false" customHeight="false" outlineLevel="0" collapsed="false">
      <c r="A10" s="15" t="s">
        <v>47</v>
      </c>
      <c r="B10" s="21" t="n">
        <v>1512.6</v>
      </c>
      <c r="C10" s="21" t="n">
        <v>1684.7</v>
      </c>
      <c r="D10" s="29" t="n">
        <f aca="false">D5*Assumptions!C11</f>
        <v>1761.796872</v>
      </c>
      <c r="E10" s="29" t="n">
        <f aca="false">E5*Assumptions!D11</f>
        <v>1841.07773124</v>
      </c>
      <c r="F10" s="29" t="n">
        <f aca="false">F5*Assumptions!E11</f>
        <v>1942.3370064582</v>
      </c>
    </row>
    <row r="11" customFormat="false" ht="15" hidden="false" customHeight="false" outlineLevel="0" collapsed="false">
      <c r="A11" s="15" t="s">
        <v>48</v>
      </c>
      <c r="B11" s="21" t="n">
        <v>2523.3</v>
      </c>
      <c r="C11" s="21" t="n">
        <v>2617.2</v>
      </c>
      <c r="D11" s="29" t="n">
        <f aca="false">D5*Assumptions!C10</f>
        <v>2642.695308</v>
      </c>
      <c r="E11" s="29" t="n">
        <f aca="false">E5*Assumptions!D10</f>
        <v>2681.56973898</v>
      </c>
      <c r="F11" s="29" t="n">
        <f aca="false">F5*Assumptions!E10</f>
        <v>2744.6066395605</v>
      </c>
    </row>
    <row r="12" customFormat="false" ht="15" hidden="false" customHeight="false" outlineLevel="0" collapsed="false">
      <c r="A12" s="15" t="s">
        <v>49</v>
      </c>
      <c r="B12" s="21" t="n">
        <v>0</v>
      </c>
      <c r="C12" s="21" t="n">
        <v>892</v>
      </c>
      <c r="D12" s="21" t="n">
        <v>0</v>
      </c>
      <c r="E12" s="21" t="n">
        <v>0</v>
      </c>
      <c r="F12" s="21" t="n">
        <v>0</v>
      </c>
    </row>
    <row r="13" customFormat="false" ht="15" hidden="false" customHeight="false" outlineLevel="0" collapsed="false">
      <c r="A13" s="25" t="s">
        <v>50</v>
      </c>
      <c r="B13" s="30" t="n">
        <f aca="false">SUM(B7:B12)</f>
        <v>31068.6</v>
      </c>
      <c r="C13" s="30" t="n">
        <f aca="false">SUM(C7:C12)</f>
        <v>34495.6</v>
      </c>
      <c r="D13" s="30" t="n">
        <f aca="false">SUM(D7:D12)</f>
        <v>34431.638868</v>
      </c>
      <c r="E13" s="30" t="n">
        <f aca="false">SUM(E7:E12)</f>
        <v>35580.82832766</v>
      </c>
      <c r="F13" s="30" t="n">
        <f aca="false">SUM(F7:F12)</f>
        <v>37073.3019928326</v>
      </c>
    </row>
    <row r="14" customFormat="false" ht="15" hidden="false" customHeight="false" outlineLevel="0" collapsed="false">
      <c r="A14" s="15" t="s">
        <v>51</v>
      </c>
      <c r="B14" s="21" t="n">
        <v>301.2</v>
      </c>
      <c r="C14" s="21" t="n">
        <v>247.8</v>
      </c>
      <c r="D14" s="21" t="n">
        <v>247.8</v>
      </c>
      <c r="E14" s="21" t="n">
        <v>247.8</v>
      </c>
      <c r="F14" s="21" t="n">
        <v>247.8</v>
      </c>
    </row>
    <row r="15" customFormat="false" ht="15" hidden="false" customHeight="false" outlineLevel="0" collapsed="false">
      <c r="A15" s="25" t="s">
        <v>52</v>
      </c>
      <c r="B15" s="31" t="n">
        <f aca="false">B5-B13+B14</f>
        <v>5408.8</v>
      </c>
      <c r="C15" s="31" t="n">
        <f aca="false">C5-C13+C14</f>
        <v>2936.6</v>
      </c>
      <c r="D15" s="31" t="n">
        <f aca="false">D5-D13+D14</f>
        <v>4116.093132</v>
      </c>
      <c r="E15" s="31" t="n">
        <f aca="false">E5-E13+E14</f>
        <v>4690.40061234</v>
      </c>
      <c r="F15" s="31" t="n">
        <f aca="false">F5-F13+F14</f>
        <v>5399.2155388674</v>
      </c>
    </row>
    <row r="16" customFormat="false" ht="15" hidden="false" customHeight="false" outlineLevel="0" collapsed="false">
      <c r="A16" s="27" t="s">
        <v>53</v>
      </c>
      <c r="B16" s="28" t="n">
        <f aca="false">B15/B5</f>
        <v>0.149512663021544</v>
      </c>
      <c r="C16" s="28" t="n">
        <f aca="false">C15/C5</f>
        <v>0.0789739783350008</v>
      </c>
      <c r="D16" s="28" t="n">
        <f aca="false">D15/D5</f>
        <v>0.10746998537752</v>
      </c>
      <c r="E16" s="28" t="n">
        <f aca="false">E15/E5</f>
        <v>0.117191373567005</v>
      </c>
      <c r="F16" s="28" t="n">
        <f aca="false">F15/F5</f>
        <v>0.127868600537445</v>
      </c>
    </row>
    <row r="17" customFormat="false" ht="15" hidden="false" customHeight="false" outlineLevel="0" collapsed="false">
      <c r="A17" s="15" t="s">
        <v>54</v>
      </c>
      <c r="B17" s="21" t="n">
        <v>439.2</v>
      </c>
      <c r="C17" s="21" t="n">
        <v>429.3</v>
      </c>
      <c r="D17" s="32" t="n">
        <f aca="false">'Cash Flow &amp; Balance'!D28*Assumptions!C19</f>
        <v>450.0944</v>
      </c>
      <c r="E17" s="32" t="n">
        <f aca="false">'Cash Flow &amp; Balance'!E28*Assumptions!D19</f>
        <v>464.0944</v>
      </c>
      <c r="F17" s="32" t="n">
        <f aca="false">'Cash Flow &amp; Balance'!F28*Assumptions!E19</f>
        <v>464.0944</v>
      </c>
    </row>
    <row r="18" customFormat="false" ht="15" hidden="false" customHeight="false" outlineLevel="0" collapsed="false">
      <c r="A18" s="25" t="s">
        <v>55</v>
      </c>
      <c r="B18" s="30" t="n">
        <f aca="false">B15-B17</f>
        <v>4969.6</v>
      </c>
      <c r="C18" s="30" t="n">
        <f aca="false">C15-C17</f>
        <v>2507.3</v>
      </c>
      <c r="D18" s="30" t="n">
        <f aca="false">D15-D17</f>
        <v>3665.998732</v>
      </c>
      <c r="E18" s="30" t="n">
        <f aca="false">E15-E17</f>
        <v>4226.30621234</v>
      </c>
      <c r="F18" s="30" t="n">
        <f aca="false">F15-F17</f>
        <v>4935.1211388674</v>
      </c>
    </row>
    <row r="19" customFormat="false" ht="15" hidden="false" customHeight="false" outlineLevel="0" collapsed="false">
      <c r="A19" s="15" t="s">
        <v>56</v>
      </c>
      <c r="B19" s="21" t="n">
        <v>1207.3</v>
      </c>
      <c r="C19" s="21" t="n">
        <v>650.6</v>
      </c>
      <c r="D19" s="29" t="n">
        <f aca="false">D18*Assumptions!C12</f>
        <v>934.82967666</v>
      </c>
      <c r="E19" s="29" t="n">
        <f aca="false">E18*Assumptions!D12</f>
        <v>1077.7080841467</v>
      </c>
      <c r="F19" s="29" t="n">
        <f aca="false">F18*Assumptions!E12</f>
        <v>1258.45589041119</v>
      </c>
    </row>
    <row r="20" customFormat="false" ht="15" hidden="false" customHeight="false" outlineLevel="0" collapsed="false">
      <c r="A20" s="25" t="s">
        <v>57</v>
      </c>
      <c r="B20" s="33" t="n">
        <f aca="false">B18-B19</f>
        <v>3762.29999999999</v>
      </c>
      <c r="C20" s="33" t="n">
        <f aca="false">C18-C19</f>
        <v>1856.7</v>
      </c>
      <c r="D20" s="33" t="n">
        <f aca="false">D18-D19</f>
        <v>2731.16905534</v>
      </c>
      <c r="E20" s="33" t="n">
        <f aca="false">E18-E19</f>
        <v>3148.5981281933</v>
      </c>
      <c r="F20" s="33" t="n">
        <f aca="false">F18-F19</f>
        <v>3676.66524845621</v>
      </c>
    </row>
    <row r="21" customFormat="false" ht="15" hidden="false" customHeight="false" outlineLevel="0" collapsed="false">
      <c r="A21" s="27" t="s">
        <v>58</v>
      </c>
      <c r="B21" s="28" t="n">
        <f aca="false">B20/B5</f>
        <v>0.103999314466417</v>
      </c>
      <c r="C21" s="28" t="n">
        <f aca="false">C20/C5</f>
        <v>0.0499322296446898</v>
      </c>
      <c r="D21" s="28" t="n">
        <f aca="false">D20/D5</f>
        <v>0.0713100236141411</v>
      </c>
      <c r="E21" s="28" t="n">
        <f aca="false">E20/E5</f>
        <v>0.0786688749960288</v>
      </c>
      <c r="F21" s="28" t="n">
        <f aca="false">F20/F5</f>
        <v>0.0870737677687476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1" t="s">
        <v>59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23" t="s">
        <v>40</v>
      </c>
      <c r="B3" s="24" t="s">
        <v>41</v>
      </c>
      <c r="C3" s="24" t="s">
        <v>18</v>
      </c>
      <c r="D3" s="24" t="s">
        <v>19</v>
      </c>
      <c r="E3" s="24" t="s">
        <v>20</v>
      </c>
      <c r="F3" s="24" t="s">
        <v>21</v>
      </c>
    </row>
    <row r="5" customFormat="false" ht="15" hidden="false" customHeight="false" outlineLevel="0" collapsed="false">
      <c r="A5" s="14" t="s">
        <v>60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15" t="s">
        <v>61</v>
      </c>
      <c r="B6" s="32" t="n">
        <f aca="false">'Income Statement'!B20</f>
        <v>3762.29999999999</v>
      </c>
      <c r="C6" s="32" t="n">
        <f aca="false">'Income Statement'!C20</f>
        <v>1856.7</v>
      </c>
      <c r="D6" s="32" t="n">
        <f aca="false">'Income Statement'!D20</f>
        <v>2731.16905534</v>
      </c>
      <c r="E6" s="32" t="n">
        <f aca="false">'Income Statement'!E20</f>
        <v>3148.5981281933</v>
      </c>
      <c r="F6" s="32" t="n">
        <f aca="false">'Income Statement'!F20</f>
        <v>3676.66524845621</v>
      </c>
    </row>
    <row r="7" customFormat="false" ht="15" hidden="false" customHeight="false" outlineLevel="0" collapsed="false">
      <c r="A7" s="15" t="s">
        <v>62</v>
      </c>
      <c r="B7" s="32" t="n">
        <f aca="false">'Income Statement'!B10</f>
        <v>1512.6</v>
      </c>
      <c r="C7" s="32" t="n">
        <f aca="false">'Income Statement'!C10</f>
        <v>1684.7</v>
      </c>
      <c r="D7" s="32" t="n">
        <f aca="false">'Income Statement'!D10</f>
        <v>1761.796872</v>
      </c>
      <c r="E7" s="32" t="n">
        <f aca="false">'Income Statement'!E10</f>
        <v>1841.07773124</v>
      </c>
      <c r="F7" s="32" t="n">
        <f aca="false">'Income Statement'!F10</f>
        <v>1942.3370064582</v>
      </c>
    </row>
    <row r="8" customFormat="false" ht="15" hidden="false" customHeight="false" outlineLevel="0" collapsed="false">
      <c r="A8" s="15" t="s">
        <v>63</v>
      </c>
      <c r="B8" s="19"/>
      <c r="C8" s="29" t="n">
        <f aca="false">C24-B24</f>
        <v>214.7</v>
      </c>
      <c r="D8" s="29" t="n">
        <f aca="false">D24-C24</f>
        <v>36.597076</v>
      </c>
      <c r="E8" s="29" t="n">
        <f aca="false">E24-D24</f>
        <v>74.1103684199998</v>
      </c>
      <c r="F8" s="29" t="n">
        <f aca="false">F24-E24</f>
        <v>94.6554094430996</v>
      </c>
    </row>
    <row r="9" customFormat="false" ht="15" hidden="false" customHeight="false" outlineLevel="0" collapsed="false">
      <c r="A9" s="25" t="s">
        <v>64</v>
      </c>
      <c r="B9" s="34" t="n">
        <v>6095.6</v>
      </c>
      <c r="C9" s="34" t="n">
        <v>4747.5</v>
      </c>
      <c r="D9" s="31" t="n">
        <f aca="false">D6+D7-D8</f>
        <v>4456.36885134</v>
      </c>
      <c r="E9" s="31" t="n">
        <f aca="false">E6+E7-E8</f>
        <v>4915.5654910133</v>
      </c>
      <c r="F9" s="31" t="n">
        <f aca="false">F6+F7-F8</f>
        <v>5524.34684547131</v>
      </c>
    </row>
    <row r="10" customFormat="false" ht="15" hidden="false" customHeight="false" outlineLevel="0" collapsed="false">
      <c r="A10" s="35" t="s">
        <v>65</v>
      </c>
      <c r="B10" s="35"/>
      <c r="C10" s="35"/>
      <c r="D10" s="35"/>
      <c r="E10" s="35"/>
      <c r="F10" s="35"/>
    </row>
    <row r="11" customFormat="false" ht="15" hidden="false" customHeight="false" outlineLevel="0" collapsed="false">
      <c r="A11" s="15" t="s">
        <v>66</v>
      </c>
      <c r="B11" s="21" t="n">
        <v>2333.6</v>
      </c>
      <c r="C11" s="21" t="n">
        <v>2305.5</v>
      </c>
      <c r="D11" s="32" t="n">
        <f aca="false">'Income Statement'!D5*Assumptions!C15</f>
        <v>2297.99592</v>
      </c>
      <c r="E11" s="32" t="n">
        <f aca="false">'Income Statement'!E5*Assumptions!D15</f>
        <v>2321.35887852</v>
      </c>
      <c r="F11" s="32" t="n">
        <f aca="false">'Income Statement'!F5*Assumptions!E15</f>
        <v>2322.3594642435</v>
      </c>
    </row>
    <row r="12" customFormat="false" ht="15" hidden="false" customHeight="false" outlineLevel="0" collapsed="false">
      <c r="A12" s="25" t="s">
        <v>67</v>
      </c>
      <c r="B12" s="33" t="n">
        <f aca="false">B9-B11</f>
        <v>3762</v>
      </c>
      <c r="C12" s="33" t="n">
        <f aca="false">C9-C11</f>
        <v>2442</v>
      </c>
      <c r="D12" s="33" t="n">
        <f aca="false">D9-D11</f>
        <v>2158.37293134</v>
      </c>
      <c r="E12" s="33" t="n">
        <f aca="false">E9-E11</f>
        <v>2594.2066124933</v>
      </c>
      <c r="F12" s="33" t="n">
        <f aca="false">F9-F11</f>
        <v>3201.98738122781</v>
      </c>
    </row>
    <row r="13" customFormat="false" ht="15" hidden="false" customHeight="false" outlineLevel="0" collapsed="false">
      <c r="A13" s="35" t="s">
        <v>68</v>
      </c>
      <c r="B13" s="35"/>
      <c r="C13" s="35"/>
      <c r="D13" s="35"/>
      <c r="E13" s="35"/>
      <c r="F13" s="35"/>
    </row>
    <row r="14" customFormat="false" ht="15" hidden="false" customHeight="false" outlineLevel="0" collapsed="false">
      <c r="A14" s="15" t="s">
        <v>69</v>
      </c>
      <c r="B14" s="19"/>
      <c r="C14" s="21" t="n">
        <v>0</v>
      </c>
      <c r="D14" s="32" t="n">
        <f aca="false">Assumptions!C22</f>
        <v>500</v>
      </c>
      <c r="E14" s="32" t="n">
        <f aca="false">Assumptions!D22</f>
        <v>0</v>
      </c>
      <c r="F14" s="32" t="n">
        <f aca="false">Assumptions!E22</f>
        <v>0</v>
      </c>
    </row>
    <row r="15" customFormat="false" ht="15" hidden="false" customHeight="false" outlineLevel="0" collapsed="false">
      <c r="A15" s="15" t="s">
        <v>70</v>
      </c>
      <c r="B15" s="21" t="n">
        <v>2585</v>
      </c>
      <c r="C15" s="21" t="n">
        <v>2771.4</v>
      </c>
      <c r="D15" s="32" t="n">
        <f aca="false">C15*(1+Assumptions!C20)</f>
        <v>2965.398</v>
      </c>
      <c r="E15" s="32" t="n">
        <f aca="false">D15*(1+Assumptions!D20)</f>
        <v>3172.97586</v>
      </c>
      <c r="F15" s="32" t="n">
        <f aca="false">E15*(1+Assumptions!E20)</f>
        <v>3395.0841702</v>
      </c>
    </row>
    <row r="16" customFormat="false" ht="15" hidden="false" customHeight="false" outlineLevel="0" collapsed="false">
      <c r="A16" s="25" t="s">
        <v>71</v>
      </c>
      <c r="B16" s="19"/>
      <c r="C16" s="30" t="n">
        <f aca="false">C12+C14-C15</f>
        <v>-329.4</v>
      </c>
      <c r="D16" s="30" t="n">
        <f aca="false">D12+D14-D15</f>
        <v>-307.025068660001</v>
      </c>
      <c r="E16" s="30" t="n">
        <f aca="false">E12+E14-E15</f>
        <v>-578.769247506701</v>
      </c>
      <c r="F16" s="30" t="n">
        <f aca="false">F12+F14-F15</f>
        <v>-193.096788972189</v>
      </c>
    </row>
    <row r="17" customFormat="false" ht="15" hidden="false" customHeight="false" outlineLevel="0" collapsed="false">
      <c r="A17" s="15" t="s">
        <v>72</v>
      </c>
      <c r="B17" s="19"/>
      <c r="C17" s="21" t="n">
        <v>3286.2</v>
      </c>
      <c r="D17" s="29" t="n">
        <f aca="false">C18</f>
        <v>3219.8</v>
      </c>
      <c r="E17" s="29" t="n">
        <f aca="false">D18</f>
        <v>2912.77493134</v>
      </c>
      <c r="F17" s="29" t="n">
        <f aca="false">E18</f>
        <v>2334.0056838333</v>
      </c>
    </row>
    <row r="18" customFormat="false" ht="15" hidden="false" customHeight="false" outlineLevel="0" collapsed="false">
      <c r="A18" s="25" t="s">
        <v>73</v>
      </c>
      <c r="B18" s="19"/>
      <c r="C18" s="21" t="n">
        <v>3219.8</v>
      </c>
      <c r="D18" s="31" t="n">
        <f aca="false">D17+D16</f>
        <v>2912.77493134</v>
      </c>
      <c r="E18" s="31" t="n">
        <f aca="false">E17+E16</f>
        <v>2334.0056838333</v>
      </c>
      <c r="F18" s="31" t="n">
        <f aca="false">F17+F16</f>
        <v>2140.90889486111</v>
      </c>
    </row>
    <row r="20" customFormat="false" ht="15" hidden="false" customHeight="false" outlineLevel="0" collapsed="false">
      <c r="A20" s="14" t="s">
        <v>74</v>
      </c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15" t="s">
        <v>75</v>
      </c>
      <c r="B21" s="21" t="n">
        <v>1213.8</v>
      </c>
      <c r="C21" s="21" t="n">
        <v>1277.5</v>
      </c>
      <c r="D21" s="32" t="n">
        <f aca="false">'Income Statement'!D5*Assumptions!C16</f>
        <v>1302.197688</v>
      </c>
      <c r="E21" s="32" t="n">
        <f aca="false">'Income Statement'!E5*Assumptions!D16</f>
        <v>1360.79658396</v>
      </c>
      <c r="F21" s="32" t="n">
        <f aca="false">'Income Statement'!F5*Assumptions!E16</f>
        <v>1435.6403960778</v>
      </c>
    </row>
    <row r="22" customFormat="false" ht="15" hidden="false" customHeight="false" outlineLevel="0" collapsed="false">
      <c r="A22" s="15" t="s">
        <v>76</v>
      </c>
      <c r="B22" s="21" t="n">
        <v>1777.3</v>
      </c>
      <c r="C22" s="21" t="n">
        <v>2185.6</v>
      </c>
      <c r="D22" s="32" t="n">
        <f aca="false">'Income Statement'!D5*Assumptions!C17</f>
        <v>2259.695988</v>
      </c>
      <c r="E22" s="32" t="n">
        <f aca="false">'Income Statement'!E5*Assumptions!D17</f>
        <v>2361.38230746</v>
      </c>
      <c r="F22" s="32" t="n">
        <f aca="false">'Income Statement'!F5*Assumptions!E17</f>
        <v>2491.2583343703</v>
      </c>
    </row>
    <row r="23" customFormat="false" ht="15" hidden="false" customHeight="false" outlineLevel="0" collapsed="false">
      <c r="A23" s="15" t="s">
        <v>77</v>
      </c>
      <c r="B23" s="21" t="n">
        <v>1595.5</v>
      </c>
      <c r="C23" s="21" t="n">
        <v>1852.8</v>
      </c>
      <c r="D23" s="32" t="n">
        <f aca="false">'Income Statement'!D5*Assumptions!C18</f>
        <v>1914.9966</v>
      </c>
      <c r="E23" s="32" t="n">
        <f aca="false">'Income Statement'!E5*Assumptions!D18</f>
        <v>2001.171447</v>
      </c>
      <c r="F23" s="32" t="n">
        <f aca="false">'Income Statement'!F5*Assumptions!E18</f>
        <v>2111.235876585</v>
      </c>
    </row>
    <row r="24" customFormat="false" ht="15" hidden="false" customHeight="false" outlineLevel="0" collapsed="false">
      <c r="A24" s="25" t="s">
        <v>78</v>
      </c>
      <c r="B24" s="30" t="n">
        <f aca="false">B21+B22-B23</f>
        <v>1395.6</v>
      </c>
      <c r="C24" s="30" t="n">
        <f aca="false">C21+C22-C23</f>
        <v>1610.3</v>
      </c>
      <c r="D24" s="30" t="n">
        <f aca="false">D21+D22-D23</f>
        <v>1646.897076</v>
      </c>
      <c r="E24" s="30" t="n">
        <f aca="false">E21+E22-E23</f>
        <v>1721.00744442</v>
      </c>
      <c r="F24" s="30" t="n">
        <f aca="false">F21+F22-F23</f>
        <v>1815.6628538631</v>
      </c>
    </row>
    <row r="26" customFormat="false" ht="15" hidden="false" customHeight="false" outlineLevel="0" collapsed="false">
      <c r="A26" s="14" t="s">
        <v>79</v>
      </c>
      <c r="B26" s="14"/>
      <c r="C26" s="14"/>
      <c r="D26" s="14"/>
      <c r="E26" s="14"/>
      <c r="F26" s="14"/>
    </row>
    <row r="28" customFormat="false" ht="15" hidden="false" customHeight="false" outlineLevel="0" collapsed="false">
      <c r="A28" s="15" t="s">
        <v>80</v>
      </c>
      <c r="B28" s="19"/>
      <c r="C28" s="21" t="n">
        <v>15568.4</v>
      </c>
      <c r="D28" s="29" t="n">
        <f aca="false">C30</f>
        <v>16074.8</v>
      </c>
      <c r="E28" s="29" t="n">
        <f aca="false">D30</f>
        <v>16574.8</v>
      </c>
      <c r="F28" s="29" t="n">
        <f aca="false">E30</f>
        <v>16574.8</v>
      </c>
    </row>
    <row r="29" customFormat="false" ht="15" hidden="false" customHeight="false" outlineLevel="0" collapsed="false">
      <c r="A29" s="15" t="s">
        <v>81</v>
      </c>
      <c r="B29" s="19"/>
      <c r="C29" s="21" t="n">
        <v>506.4</v>
      </c>
      <c r="D29" s="32" t="n">
        <f aca="false">Assumptions!C22</f>
        <v>500</v>
      </c>
      <c r="E29" s="32" t="n">
        <f aca="false">Assumptions!D22</f>
        <v>0</v>
      </c>
      <c r="F29" s="32" t="n">
        <f aca="false">Assumptions!E22</f>
        <v>0</v>
      </c>
    </row>
    <row r="30" customFormat="false" ht="15" hidden="false" customHeight="false" outlineLevel="0" collapsed="false">
      <c r="A30" s="25" t="s">
        <v>82</v>
      </c>
      <c r="B30" s="19"/>
      <c r="C30" s="21" t="n">
        <v>16074.8</v>
      </c>
      <c r="D30" s="31" t="n">
        <f aca="false">D28+D29</f>
        <v>16574.8</v>
      </c>
      <c r="E30" s="31" t="n">
        <f aca="false">E28+E29</f>
        <v>16574.8</v>
      </c>
      <c r="F30" s="31" t="n">
        <f aca="false">F28+F29</f>
        <v>16574.8</v>
      </c>
    </row>
    <row r="32" customFormat="false" ht="15" hidden="false" customHeight="false" outlineLevel="0" collapsed="false">
      <c r="A32" s="22" t="s">
        <v>83</v>
      </c>
      <c r="B32" s="22"/>
      <c r="C32" s="22"/>
      <c r="D32" s="22"/>
      <c r="E32" s="22"/>
      <c r="F32" s="22"/>
    </row>
  </sheetData>
  <mergeCells count="7">
    <mergeCell ref="A1:F1"/>
    <mergeCell ref="A5:F5"/>
    <mergeCell ref="A10:F10"/>
    <mergeCell ref="A13:F13"/>
    <mergeCell ref="A20:F20"/>
    <mergeCell ref="A26:F26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1" t="s">
        <v>84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A2" s="22" t="s">
        <v>85</v>
      </c>
      <c r="B2" s="22"/>
      <c r="C2" s="22"/>
      <c r="D2" s="22"/>
      <c r="E2" s="22"/>
      <c r="F2" s="22"/>
      <c r="G2" s="22"/>
    </row>
    <row r="4" customFormat="false" ht="15" hidden="false" customHeight="false" outlineLevel="0" collapsed="false">
      <c r="A4" s="22" t="s">
        <v>86</v>
      </c>
      <c r="B4" s="22"/>
      <c r="C4" s="22"/>
      <c r="D4" s="22"/>
      <c r="E4" s="22"/>
      <c r="F4" s="22"/>
      <c r="G4" s="22"/>
    </row>
    <row r="6" customFormat="false" ht="15" hidden="false" customHeight="false" outlineLevel="0" collapsed="false">
      <c r="A6" s="36" t="s">
        <v>87</v>
      </c>
      <c r="B6" s="36"/>
      <c r="C6" s="36"/>
      <c r="D6" s="36"/>
      <c r="E6" s="36"/>
      <c r="F6" s="36"/>
      <c r="G6" s="36"/>
    </row>
    <row r="7" customFormat="false" ht="15" hidden="false" customHeight="false" outlineLevel="0" collapsed="false">
      <c r="A7" s="37" t="s">
        <v>88</v>
      </c>
      <c r="B7" s="38" t="n">
        <v>0</v>
      </c>
      <c r="C7" s="38" t="n">
        <v>0.02</v>
      </c>
      <c r="D7" s="38" t="n">
        <v>0.04</v>
      </c>
      <c r="E7" s="38" t="n">
        <v>0.06</v>
      </c>
      <c r="F7" s="38" t="n">
        <v>0.08</v>
      </c>
    </row>
    <row r="8" customFormat="false" ht="15" hidden="false" customHeight="false" outlineLevel="0" collapsed="false">
      <c r="A8" s="39" t="n">
        <v>0.43</v>
      </c>
      <c r="B8" s="40" t="n">
        <f aca="false">(('Income Statement'!$C$5*(1+B$7)^3)*(1-Assumptions!$E$7-$A8-Assumptions!$E$9-Assumptions!$E$10-Assumptions!$E$11)-'Income Statement'!$C$17)*(1-Assumptions!$E$12)+('Income Statement'!$C$5*(1+B$7)^3)*Assumptions!$E$11-('Income Statement'!$C$5*(1+B$7)^3)*Assumptions!$E$15</f>
        <v>3002.225796</v>
      </c>
      <c r="C8" s="40" t="n">
        <f aca="false">(('Income Statement'!$C$5*(1+C$7)^3)*(1-Assumptions!$E$7-$A8-Assumptions!$E$9-Assumptions!$E$10-Assumptions!$E$11)-'Income Statement'!$C$17)*(1-Assumptions!$E$12)+('Income Statement'!$C$5*(1+C$7)^3)*Assumptions!$E$11-('Income Statement'!$C$5*(1+C$7)^3)*Assumptions!$E$15</f>
        <v>3205.56209534957</v>
      </c>
      <c r="D8" s="40" t="n">
        <f aca="false">(('Income Statement'!$C$5*(1+D$7)^3)*(1-Assumptions!$E$7-$A8-Assumptions!$E$9-Assumptions!$E$10-Assumptions!$E$11)-'Income Statement'!$C$17)*(1-Assumptions!$E$12)+('Income Statement'!$C$5*(1+D$7)^3)*Assumptions!$E$11-('Income Statement'!$C$5*(1+D$7)^3)*Assumptions!$E$15</f>
        <v>3417.03078361575</v>
      </c>
      <c r="E8" s="40" t="n">
        <f aca="false">(('Income Statement'!$C$5*(1+E$7)^3)*(1-Assumptions!$E$7-$A8-Assumptions!$E$9-Assumptions!$E$10-Assumptions!$E$11)-'Income Statement'!$C$17)*(1-Assumptions!$E$12)+('Income Statement'!$C$5*(1+E$7)^3)*Assumptions!$E$11-('Income Statement'!$C$5*(1+E$7)^3)*Assumptions!$E$15</f>
        <v>3636.79131940474</v>
      </c>
      <c r="F8" s="40" t="n">
        <f aca="false">(('Income Statement'!$C$5*(1+F$7)^3)*(1-Assumptions!$E$7-$A8-Assumptions!$E$9-Assumptions!$E$10-Assumptions!$E$11)-'Income Statement'!$C$17)*(1-Assumptions!$E$12)+('Income Statement'!$C$5*(1+F$7)^3)*Assumptions!$E$11-('Income Statement'!$C$5*(1+F$7)^3)*Assumptions!$E$15</f>
        <v>3865.00316132275</v>
      </c>
    </row>
    <row r="9" customFormat="false" ht="15" hidden="false" customHeight="false" outlineLevel="0" collapsed="false">
      <c r="A9" s="39" t="n">
        <v>0.44</v>
      </c>
      <c r="B9" s="40" t="n">
        <f aca="false">(('Income Statement'!$C$5*(1+B$7)^3)*(1-Assumptions!$E$7-$A9-Assumptions!$E$9-Assumptions!$E$10-Assumptions!$E$11)-'Income Statement'!$C$17)*(1-Assumptions!$E$12)+('Income Statement'!$C$5*(1+B$7)^3)*Assumptions!$E$11-('Income Statement'!$C$5*(1+B$7)^3)*Assumptions!$E$15</f>
        <v>2725.202016</v>
      </c>
      <c r="C9" s="40" t="n">
        <f aca="false">(('Income Statement'!$C$5*(1+C$7)^3)*(1-Assumptions!$E$7-$A9-Assumptions!$E$9-Assumptions!$E$10-Assumptions!$E$11)-'Income Statement'!$C$17)*(1-Assumptions!$E$12)+('Income Statement'!$C$5*(1+C$7)^3)*Assumptions!$E$11-('Income Statement'!$C$5*(1+C$7)^3)*Assumptions!$E$15</f>
        <v>2911.58224382333</v>
      </c>
      <c r="D9" s="40" t="n">
        <f aca="false">(('Income Statement'!$C$5*(1+D$7)^3)*(1-Assumptions!$E$7-$A9-Assumptions!$E$9-Assumptions!$E$10-Assumptions!$E$11)-'Income Statement'!$C$17)*(1-Assumptions!$E$12)+('Income Statement'!$C$5*(1+D$7)^3)*Assumptions!$E$11-('Income Statement'!$C$5*(1+D$7)^3)*Assumptions!$E$15</f>
        <v>3105.41670634983</v>
      </c>
      <c r="E9" s="40" t="n">
        <f aca="false">(('Income Statement'!$C$5*(1+E$7)^3)*(1-Assumptions!$E$7-$A9-Assumptions!$E$9-Assumptions!$E$10-Assumptions!$E$11)-'Income Statement'!$C$17)*(1-Assumptions!$E$12)+('Income Statement'!$C$5*(1+E$7)^3)*Assumptions!$E$11-('Income Statement'!$C$5*(1+E$7)^3)*Assumptions!$E$15</f>
        <v>3306.85156504426</v>
      </c>
      <c r="F9" s="40" t="n">
        <f aca="false">(('Income Statement'!$C$5*(1+F$7)^3)*(1-Assumptions!$E$7-$A9-Assumptions!$E$9-Assumptions!$E$10-Assumptions!$E$11)-'Income Statement'!$C$17)*(1-Assumptions!$E$12)+('Income Statement'!$C$5*(1+F$7)^3)*Assumptions!$E$11-('Income Statement'!$C$5*(1+F$7)^3)*Assumptions!$E$15</f>
        <v>3516.03298137139</v>
      </c>
    </row>
    <row r="10" customFormat="false" ht="15" hidden="false" customHeight="false" outlineLevel="0" collapsed="false">
      <c r="A10" s="39" t="n">
        <v>0.45</v>
      </c>
      <c r="B10" s="40" t="n">
        <f aca="false">(('Income Statement'!$C$5*(1+B$7)^3)*(1-Assumptions!$E$7-$A10-Assumptions!$E$9-Assumptions!$E$10-Assumptions!$E$11)-'Income Statement'!$C$17)*(1-Assumptions!$E$12)+('Income Statement'!$C$5*(1+B$7)^3)*Assumptions!$E$11-('Income Statement'!$C$5*(1+B$7)^3)*Assumptions!$E$15</f>
        <v>2448.178236</v>
      </c>
      <c r="C10" s="40" t="n">
        <f aca="false">(('Income Statement'!$C$5*(1+C$7)^3)*(1-Assumptions!$E$7-$A10-Assumptions!$E$9-Assumptions!$E$10-Assumptions!$E$11)-'Income Statement'!$C$17)*(1-Assumptions!$E$12)+('Income Statement'!$C$5*(1+C$7)^3)*Assumptions!$E$11-('Income Statement'!$C$5*(1+C$7)^3)*Assumptions!$E$15</f>
        <v>2617.60239229709</v>
      </c>
      <c r="D10" s="40" t="n">
        <f aca="false">(('Income Statement'!$C$5*(1+D$7)^3)*(1-Assumptions!$E$7-$A10-Assumptions!$E$9-Assumptions!$E$10-Assumptions!$E$11)-'Income Statement'!$C$17)*(1-Assumptions!$E$12)+('Income Statement'!$C$5*(1+D$7)^3)*Assumptions!$E$11-('Income Statement'!$C$5*(1+D$7)^3)*Assumptions!$E$15</f>
        <v>2793.80262908391</v>
      </c>
      <c r="E10" s="40" t="n">
        <f aca="false">(('Income Statement'!$C$5*(1+E$7)^3)*(1-Assumptions!$E$7-$A10-Assumptions!$E$9-Assumptions!$E$10-Assumptions!$E$11)-'Income Statement'!$C$17)*(1-Assumptions!$E$12)+('Income Statement'!$C$5*(1+E$7)^3)*Assumptions!$E$11-('Income Statement'!$C$5*(1+E$7)^3)*Assumptions!$E$15</f>
        <v>2976.91181068378</v>
      </c>
      <c r="F10" s="40" t="n">
        <f aca="false">(('Income Statement'!$C$5*(1+F$7)^3)*(1-Assumptions!$E$7-$A10-Assumptions!$E$9-Assumptions!$E$10-Assumptions!$E$11)-'Income Statement'!$C$17)*(1-Assumptions!$E$12)+('Income Statement'!$C$5*(1+F$7)^3)*Assumptions!$E$11-('Income Statement'!$C$5*(1+F$7)^3)*Assumptions!$E$15</f>
        <v>3167.06280142003</v>
      </c>
    </row>
    <row r="11" customFormat="false" ht="15" hidden="false" customHeight="false" outlineLevel="0" collapsed="false">
      <c r="A11" s="39" t="n">
        <v>0.46</v>
      </c>
      <c r="B11" s="40" t="n">
        <f aca="false">(('Income Statement'!$C$5*(1+B$7)^3)*(1-Assumptions!$E$7-$A11-Assumptions!$E$9-Assumptions!$E$10-Assumptions!$E$11)-'Income Statement'!$C$17)*(1-Assumptions!$E$12)+('Income Statement'!$C$5*(1+B$7)^3)*Assumptions!$E$11-('Income Statement'!$C$5*(1+B$7)^3)*Assumptions!$E$15</f>
        <v>2171.154456</v>
      </c>
      <c r="C11" s="40" t="n">
        <f aca="false">(('Income Statement'!$C$5*(1+C$7)^3)*(1-Assumptions!$E$7-$A11-Assumptions!$E$9-Assumptions!$E$10-Assumptions!$E$11)-'Income Statement'!$C$17)*(1-Assumptions!$E$12)+('Income Statement'!$C$5*(1+C$7)^3)*Assumptions!$E$11-('Income Statement'!$C$5*(1+C$7)^3)*Assumptions!$E$15</f>
        <v>2323.62254077085</v>
      </c>
      <c r="D11" s="40" t="n">
        <f aca="false">(('Income Statement'!$C$5*(1+D$7)^3)*(1-Assumptions!$E$7-$A11-Assumptions!$E$9-Assumptions!$E$10-Assumptions!$E$11)-'Income Statement'!$C$17)*(1-Assumptions!$E$12)+('Income Statement'!$C$5*(1+D$7)^3)*Assumptions!$E$11-('Income Statement'!$C$5*(1+D$7)^3)*Assumptions!$E$15</f>
        <v>2482.18855181798</v>
      </c>
      <c r="E11" s="40" t="n">
        <f aca="false">(('Income Statement'!$C$5*(1+E$7)^3)*(1-Assumptions!$E$7-$A11-Assumptions!$E$9-Assumptions!$E$10-Assumptions!$E$11)-'Income Statement'!$C$17)*(1-Assumptions!$E$12)+('Income Statement'!$C$5*(1+E$7)^3)*Assumptions!$E$11-('Income Statement'!$C$5*(1+E$7)^3)*Assumptions!$E$15</f>
        <v>2646.9720563233</v>
      </c>
      <c r="F11" s="40" t="n">
        <f aca="false">(('Income Statement'!$C$5*(1+F$7)^3)*(1-Assumptions!$E$7-$A11-Assumptions!$E$9-Assumptions!$E$10-Assumptions!$E$11)-'Income Statement'!$C$17)*(1-Assumptions!$E$12)+('Income Statement'!$C$5*(1+F$7)^3)*Assumptions!$E$11-('Income Statement'!$C$5*(1+F$7)^3)*Assumptions!$E$15</f>
        <v>2818.09262146867</v>
      </c>
    </row>
    <row r="12" customFormat="false" ht="15" hidden="false" customHeight="false" outlineLevel="0" collapsed="false">
      <c r="A12" s="39" t="n">
        <v>0.47</v>
      </c>
      <c r="B12" s="40" t="n">
        <f aca="false">(('Income Statement'!$C$5*(1+B$7)^3)*(1-Assumptions!$E$7-$A12-Assumptions!$E$9-Assumptions!$E$10-Assumptions!$E$11)-'Income Statement'!$C$17)*(1-Assumptions!$E$12)+('Income Statement'!$C$5*(1+B$7)^3)*Assumptions!$E$11-('Income Statement'!$C$5*(1+B$7)^3)*Assumptions!$E$15</f>
        <v>1894.130676</v>
      </c>
      <c r="C12" s="40" t="n">
        <f aca="false">(('Income Statement'!$C$5*(1+C$7)^3)*(1-Assumptions!$E$7-$A12-Assumptions!$E$9-Assumptions!$E$10-Assumptions!$E$11)-'Income Statement'!$C$17)*(1-Assumptions!$E$12)+('Income Statement'!$C$5*(1+C$7)^3)*Assumptions!$E$11-('Income Statement'!$C$5*(1+C$7)^3)*Assumptions!$E$15</f>
        <v>2029.64268924461</v>
      </c>
      <c r="D12" s="40" t="n">
        <f aca="false">(('Income Statement'!$C$5*(1+D$7)^3)*(1-Assumptions!$E$7-$A12-Assumptions!$E$9-Assumptions!$E$10-Assumptions!$E$11)-'Income Statement'!$C$17)*(1-Assumptions!$E$12)+('Income Statement'!$C$5*(1+D$7)^3)*Assumptions!$E$11-('Income Statement'!$C$5*(1+D$7)^3)*Assumptions!$E$15</f>
        <v>2170.57447455207</v>
      </c>
      <c r="E12" s="40" t="n">
        <f aca="false">(('Income Statement'!$C$5*(1+E$7)^3)*(1-Assumptions!$E$7-$A12-Assumptions!$E$9-Assumptions!$E$10-Assumptions!$E$11)-'Income Statement'!$C$17)*(1-Assumptions!$E$12)+('Income Statement'!$C$5*(1+E$7)^3)*Assumptions!$E$11-('Income Statement'!$C$5*(1+E$7)^3)*Assumptions!$E$15</f>
        <v>2317.03230196282</v>
      </c>
      <c r="F12" s="40" t="n">
        <f aca="false">(('Income Statement'!$C$5*(1+F$7)^3)*(1-Assumptions!$E$7-$A12-Assumptions!$E$9-Assumptions!$E$10-Assumptions!$E$11)-'Income Statement'!$C$17)*(1-Assumptions!$E$12)+('Income Statement'!$C$5*(1+F$7)^3)*Assumptions!$E$11-('Income Statement'!$C$5*(1+F$7)^3)*Assumptions!$E$15</f>
        <v>2469.12244151731</v>
      </c>
    </row>
    <row r="14" customFormat="false" ht="15" hidden="false" customHeight="false" outlineLevel="0" collapsed="false">
      <c r="A14" s="22" t="s">
        <v>89</v>
      </c>
      <c r="B14" s="22"/>
      <c r="C14" s="22"/>
      <c r="D14" s="22"/>
      <c r="E14" s="22"/>
      <c r="F14" s="22"/>
      <c r="G14" s="22"/>
    </row>
  </sheetData>
  <mergeCells count="5">
    <mergeCell ref="A1:G1"/>
    <mergeCell ref="A2:G2"/>
    <mergeCell ref="A4:G4"/>
    <mergeCell ref="A6:G6"/>
    <mergeCell ref="A14:G14"/>
  </mergeCells>
  <conditionalFormatting sqref="B8:F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  <col collapsed="false" customWidth="true" hidden="false" outlineLevel="0" max="7" min="7" style="0" width="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1" t="s">
        <v>90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23" t="s">
        <v>40</v>
      </c>
      <c r="B3" s="24" t="s">
        <v>41</v>
      </c>
      <c r="C3" s="24" t="s">
        <v>18</v>
      </c>
      <c r="D3" s="24" t="s">
        <v>19</v>
      </c>
      <c r="E3" s="24" t="s">
        <v>20</v>
      </c>
      <c r="F3" s="24" t="s">
        <v>21</v>
      </c>
    </row>
    <row r="4" customFormat="false" ht="15" hidden="false" customHeight="false" outlineLevel="0" collapsed="false">
      <c r="A4" s="25" t="s">
        <v>42</v>
      </c>
      <c r="B4" s="32" t="n">
        <f aca="false">'Income Statement'!B5</f>
        <v>36176.2</v>
      </c>
      <c r="C4" s="32" t="n">
        <f aca="false">'Income Statement'!C5</f>
        <v>37184.4</v>
      </c>
      <c r="D4" s="32" t="n">
        <f aca="false">'Income Statement'!D5</f>
        <v>38299.932</v>
      </c>
      <c r="E4" s="32" t="n">
        <f aca="false">'Income Statement'!E5</f>
        <v>40023.42894</v>
      </c>
      <c r="F4" s="32" t="n">
        <f aca="false">'Income Statement'!F5</f>
        <v>42224.7175317</v>
      </c>
    </row>
    <row r="5" customFormat="false" ht="15" hidden="false" customHeight="false" outlineLevel="0" collapsed="false">
      <c r="A5" s="15" t="s">
        <v>91</v>
      </c>
      <c r="B5" s="16" t="n">
        <f aca="false">'Income Statement'!B6</f>
        <v>0</v>
      </c>
      <c r="C5" s="16" t="n">
        <f aca="false">'Income Statement'!C6</f>
        <v>0.0278691515416214</v>
      </c>
      <c r="D5" s="16" t="n">
        <f aca="false">'Income Statement'!D6</f>
        <v>0.03</v>
      </c>
      <c r="E5" s="16" t="n">
        <f aca="false">'Income Statement'!E6</f>
        <v>0.0449999999999999</v>
      </c>
      <c r="F5" s="16" t="n">
        <f aca="false">'Income Statement'!F6</f>
        <v>0.0549999999999999</v>
      </c>
    </row>
    <row r="6" customFormat="false" ht="15" hidden="false" customHeight="false" outlineLevel="0" collapsed="false">
      <c r="A6" s="25" t="s">
        <v>52</v>
      </c>
      <c r="B6" s="32" t="n">
        <f aca="false">'Income Statement'!B15</f>
        <v>5408.8</v>
      </c>
      <c r="C6" s="32" t="n">
        <f aca="false">'Income Statement'!C15</f>
        <v>2936.6</v>
      </c>
      <c r="D6" s="32" t="n">
        <f aca="false">'Income Statement'!D15</f>
        <v>4116.093132</v>
      </c>
      <c r="E6" s="32" t="n">
        <f aca="false">'Income Statement'!E15</f>
        <v>4690.40061234</v>
      </c>
      <c r="F6" s="32" t="n">
        <f aca="false">'Income Statement'!F15</f>
        <v>5399.2155388674</v>
      </c>
    </row>
    <row r="7" customFormat="false" ht="15" hidden="false" customHeight="false" outlineLevel="0" collapsed="false">
      <c r="A7" s="15" t="s">
        <v>92</v>
      </c>
      <c r="B7" s="16" t="n">
        <f aca="false">'Income Statement'!B16</f>
        <v>0.149512663021544</v>
      </c>
      <c r="C7" s="16" t="n">
        <f aca="false">'Income Statement'!C16</f>
        <v>0.0789739783350008</v>
      </c>
      <c r="D7" s="16" t="n">
        <f aca="false">'Income Statement'!D16</f>
        <v>0.10746998537752</v>
      </c>
      <c r="E7" s="16" t="n">
        <f aca="false">'Income Statement'!E16</f>
        <v>0.117191373567005</v>
      </c>
      <c r="F7" s="16" t="n">
        <f aca="false">'Income Statement'!F16</f>
        <v>0.127868600537445</v>
      </c>
    </row>
    <row r="8" customFormat="false" ht="15" hidden="false" customHeight="false" outlineLevel="0" collapsed="false">
      <c r="A8" s="25" t="s">
        <v>61</v>
      </c>
      <c r="B8" s="32" t="n">
        <f aca="false">'Income Statement'!B20</f>
        <v>3762.29999999999</v>
      </c>
      <c r="C8" s="32" t="n">
        <f aca="false">'Income Statement'!C20</f>
        <v>1856.7</v>
      </c>
      <c r="D8" s="32" t="n">
        <f aca="false">'Income Statement'!D20</f>
        <v>2731.16905534</v>
      </c>
      <c r="E8" s="32" t="n">
        <f aca="false">'Income Statement'!E20</f>
        <v>3148.5981281933</v>
      </c>
      <c r="F8" s="32" t="n">
        <f aca="false">'Income Statement'!F20</f>
        <v>3676.66524845621</v>
      </c>
    </row>
    <row r="9" customFormat="false" ht="15" hidden="false" customHeight="false" outlineLevel="0" collapsed="false">
      <c r="A9" s="25" t="s">
        <v>93</v>
      </c>
      <c r="B9" s="32" t="n">
        <f aca="false">'Cash Flow &amp; Balance'!B12</f>
        <v>3762</v>
      </c>
      <c r="C9" s="32" t="n">
        <f aca="false">'Cash Flow &amp; Balance'!C12</f>
        <v>2442</v>
      </c>
      <c r="D9" s="32" t="n">
        <f aca="false">'Cash Flow &amp; Balance'!D12</f>
        <v>2158.37293134</v>
      </c>
      <c r="E9" s="32" t="n">
        <f aca="false">'Cash Flow &amp; Balance'!E12</f>
        <v>2594.2066124933</v>
      </c>
      <c r="F9" s="32" t="n">
        <f aca="false">'Cash Flow &amp; Balance'!F12</f>
        <v>3201.98738122781</v>
      </c>
    </row>
    <row r="10" customFormat="false" ht="15" hidden="false" customHeight="false" outlineLevel="0" collapsed="false">
      <c r="A10" s="15" t="s">
        <v>73</v>
      </c>
      <c r="B10" s="32" t="n">
        <f aca="false">'Cash Flow &amp; Balance'!B18</f>
        <v>0</v>
      </c>
      <c r="C10" s="32" t="n">
        <f aca="false">'Cash Flow &amp; Balance'!C18</f>
        <v>3219.8</v>
      </c>
      <c r="D10" s="32" t="n">
        <f aca="false">'Cash Flow &amp; Balance'!D18</f>
        <v>2912.77493134</v>
      </c>
      <c r="E10" s="32" t="n">
        <f aca="false">'Cash Flow &amp; Balance'!E18</f>
        <v>2334.0056838333</v>
      </c>
      <c r="F10" s="32" t="n">
        <f aca="false">'Cash Flow &amp; Balance'!F18</f>
        <v>2140.90889486111</v>
      </c>
    </row>
    <row r="11" customFormat="false" ht="15" hidden="false" customHeight="false" outlineLevel="0" collapsed="false">
      <c r="A11" s="15" t="s">
        <v>82</v>
      </c>
      <c r="B11" s="32" t="n">
        <f aca="false">'Cash Flow &amp; Balance'!B30</f>
        <v>0</v>
      </c>
      <c r="C11" s="32" t="n">
        <f aca="false">'Cash Flow &amp; Balance'!C30</f>
        <v>16074.8</v>
      </c>
      <c r="D11" s="32" t="n">
        <f aca="false">'Cash Flow &amp; Balance'!D30</f>
        <v>16574.8</v>
      </c>
      <c r="E11" s="32" t="n">
        <f aca="false">'Cash Flow &amp; Balance'!E30</f>
        <v>16574.8</v>
      </c>
      <c r="F11" s="32" t="n">
        <f aca="false">'Cash Flow &amp; Balance'!F30</f>
        <v>16574.8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2026-07-05T21:35:57Z</dcterms:created>
  <dc:creator>openpyxl</dc:creator>
  <dc:description/>
  <dc:language>en-US</dc:language>
  <cp:lastModifiedBy/>
  <dcterms:modified xsi:type="dcterms:W3CDTF">2026-07-05T21:35:58Z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